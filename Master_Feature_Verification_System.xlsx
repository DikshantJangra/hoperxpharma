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Data" sheetId="1" state="visible" r:id="rId1"/>
    <sheet name="Feature Master" sheetId="2" state="visible" r:id="rId2"/>
    <sheet name="Verification Checklist" sheetId="3" state="visible" r:id="rId3"/>
    <sheet name="Bug Tracker" sheetId="4" state="visible" r:id="rId4"/>
    <sheet name="Fix Log" sheetId="5" state="visible" r:id="rId5"/>
    <sheet name="Regression Matrix" sheetId="6" state="visible" r:id="rId6"/>
    <sheet name="Progress Dashboard" sheetId="7" state="visible" r:id="rId7"/>
  </sheets>
  <definedNames>
    <definedName name="Modules">'Reference Data'!$A$2:$A$10</definedName>
    <definedName name="Feature_Status">'Reference Data'!$B$2:$B$6</definedName>
    <definedName name="Criticality">'Reference Data'!$C$2:$C$5</definedName>
    <definedName name="Verification_Status">'Reference Data'!$D$2:$D$5</definedName>
    <definedName name="Bug_Severity">'Reference Data'!$E$2:$E$5</definedName>
    <definedName name="Bug_Priority">'Reference Data'!$F$2:$F$5</definedName>
    <definedName name="Bug_Status">'Reference Data'!$G$2:$G$8</definedName>
    <definedName name="Fix_Type">'Reference Data'!$H$2:$H$7</definedName>
    <definedName name="Test_Type">'Reference Data'!$I$2:$I$6</definedName>
    <definedName name="Regression_Risk">'Reference Data'!$J$2:$J$4</definedName>
    <definedName name="Yes_No">'Reference Data'!$K$2:$K$4</definedName>
    <definedName name="Team_Members">'Reference Data'!$L$2:$L$6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  <font>
      <sz val="12"/>
    </font>
    <font>
      <sz val="14"/>
    </font>
    <font>
      <b val="1"/>
      <sz val="14"/>
    </font>
    <font>
      <b val="1"/>
      <sz val="16"/>
    </font>
    <font>
      <b val="1"/>
      <sz val="1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95A5A6"/>
        <b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7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Modules</t>
        </is>
      </c>
      <c r="B1" s="1" t="inlineStr">
        <is>
          <t>Feature Status</t>
        </is>
      </c>
      <c r="C1" s="1" t="inlineStr">
        <is>
          <t>Criticality</t>
        </is>
      </c>
      <c r="D1" s="1" t="inlineStr">
        <is>
          <t>Verification Status</t>
        </is>
      </c>
      <c r="E1" s="1" t="inlineStr">
        <is>
          <t>Bug Severity</t>
        </is>
      </c>
      <c r="F1" s="1" t="inlineStr">
        <is>
          <t>Bug Priority</t>
        </is>
      </c>
      <c r="G1" s="1" t="inlineStr">
        <is>
          <t>Bug Status</t>
        </is>
      </c>
      <c r="H1" s="1" t="inlineStr">
        <is>
          <t>Fix Type</t>
        </is>
      </c>
      <c r="I1" s="1" t="inlineStr">
        <is>
          <t>Test Type</t>
        </is>
      </c>
      <c r="J1" s="1" t="inlineStr">
        <is>
          <t>Regression Risk</t>
        </is>
      </c>
      <c r="K1" s="1" t="inlineStr">
        <is>
          <t>Yes/No</t>
        </is>
      </c>
      <c r="L1" s="1" t="inlineStr">
        <is>
          <t>Team Members</t>
        </is>
      </c>
    </row>
    <row r="2">
      <c r="A2" t="inlineStr">
        <is>
          <t>Auth</t>
        </is>
      </c>
      <c r="B2" t="inlineStr">
        <is>
          <t>Planned</t>
        </is>
      </c>
      <c r="C2" t="inlineStr">
        <is>
          <t>Low</t>
        </is>
      </c>
      <c r="D2" t="inlineStr">
        <is>
          <t>✅ Pass</t>
        </is>
      </c>
      <c r="E2" t="inlineStr">
        <is>
          <t>Critical</t>
        </is>
      </c>
      <c r="F2" t="inlineStr">
        <is>
          <t>P0</t>
        </is>
      </c>
      <c r="G2" t="inlineStr">
        <is>
          <t>Open</t>
        </is>
      </c>
      <c r="H2" t="inlineStr">
        <is>
          <t>UI</t>
        </is>
      </c>
      <c r="I2" t="inlineStr">
        <is>
          <t>Unit</t>
        </is>
      </c>
      <c r="J2" t="inlineStr">
        <is>
          <t>High</t>
        </is>
      </c>
      <c r="K2" t="inlineStr">
        <is>
          <t>Yes</t>
        </is>
      </c>
      <c r="L2" t="inlineStr">
        <is>
          <t>Dikshant</t>
        </is>
      </c>
    </row>
    <row r="3">
      <c r="A3" t="inlineStr">
        <is>
          <t>Inventory</t>
        </is>
      </c>
      <c r="B3" t="inlineStr">
        <is>
          <t>In Development</t>
        </is>
      </c>
      <c r="C3" t="inlineStr">
        <is>
          <t>Medium</t>
        </is>
      </c>
      <c r="D3" t="inlineStr">
        <is>
          <t>❌ Fail</t>
        </is>
      </c>
      <c r="E3" t="inlineStr">
        <is>
          <t>High</t>
        </is>
      </c>
      <c r="F3" t="inlineStr">
        <is>
          <t>P1</t>
        </is>
      </c>
      <c r="G3" t="inlineStr">
        <is>
          <t>In Progress</t>
        </is>
      </c>
      <c r="H3" t="inlineStr">
        <is>
          <t>Logic</t>
        </is>
      </c>
      <c r="I3" t="inlineStr">
        <is>
          <t>Integration</t>
        </is>
      </c>
      <c r="J3" t="inlineStr">
        <is>
          <t>Medium</t>
        </is>
      </c>
      <c r="K3" t="inlineStr">
        <is>
          <t>No</t>
        </is>
      </c>
      <c r="L3" t="inlineStr">
        <is>
          <t>QA Team</t>
        </is>
      </c>
    </row>
    <row r="4">
      <c r="A4" t="inlineStr">
        <is>
          <t>POS</t>
        </is>
      </c>
      <c r="B4" t="inlineStr">
        <is>
          <t>Built</t>
        </is>
      </c>
      <c r="C4" t="inlineStr">
        <is>
          <t>High</t>
        </is>
      </c>
      <c r="D4" t="inlineStr">
        <is>
          <t>⏸ Partial</t>
        </is>
      </c>
      <c r="E4" t="inlineStr">
        <is>
          <t>Medium</t>
        </is>
      </c>
      <c r="F4" t="inlineStr">
        <is>
          <t>P2</t>
        </is>
      </c>
      <c r="G4" t="inlineStr">
        <is>
          <t>Fixed</t>
        </is>
      </c>
      <c r="H4" t="inlineStr">
        <is>
          <t>Performance</t>
        </is>
      </c>
      <c r="I4" t="inlineStr">
        <is>
          <t>E2E</t>
        </is>
      </c>
      <c r="J4" t="inlineStr">
        <is>
          <t>Low</t>
        </is>
      </c>
      <c r="K4" t="inlineStr">
        <is>
          <t>N/A</t>
        </is>
      </c>
      <c r="L4" t="inlineStr">
        <is>
          <t>Product Team</t>
        </is>
      </c>
    </row>
    <row r="5">
      <c r="A5" t="inlineStr">
        <is>
          <t>Billing</t>
        </is>
      </c>
      <c r="B5" t="inlineStr">
        <is>
          <t>Deprecated</t>
        </is>
      </c>
      <c r="C5" t="inlineStr">
        <is>
          <t>Blocking</t>
        </is>
      </c>
      <c r="D5" t="inlineStr">
        <is>
          <t>— Not Tested</t>
        </is>
      </c>
      <c r="E5" t="inlineStr">
        <is>
          <t>Low</t>
        </is>
      </c>
      <c r="F5" t="inlineStr">
        <is>
          <t>P3</t>
        </is>
      </c>
      <c r="G5" t="inlineStr">
        <is>
          <t>Verified</t>
        </is>
      </c>
      <c r="H5" t="inlineStr">
        <is>
          <t>Security</t>
        </is>
      </c>
      <c r="I5" t="inlineStr">
        <is>
          <t>Manual</t>
        </is>
      </c>
      <c r="L5" t="inlineStr">
        <is>
          <t>Backend Team</t>
        </is>
      </c>
    </row>
    <row r="6">
      <c r="A6" t="inlineStr">
        <is>
          <t>Messages</t>
        </is>
      </c>
      <c r="B6" t="inlineStr">
        <is>
          <t>Removed</t>
        </is>
      </c>
      <c r="G6" t="inlineStr">
        <is>
          <t>Closed</t>
        </is>
      </c>
      <c r="H6" t="inlineStr">
        <is>
          <t>Data</t>
        </is>
      </c>
      <c r="I6" t="inlineStr">
        <is>
          <t>Automated</t>
        </is>
      </c>
      <c r="L6" t="inlineStr">
        <is>
          <t>Frontend Team</t>
        </is>
      </c>
    </row>
    <row r="7">
      <c r="A7" t="inlineStr">
        <is>
          <t>Dashboard</t>
        </is>
      </c>
      <c r="G7" t="inlineStr">
        <is>
          <t>Wont Fix</t>
        </is>
      </c>
      <c r="H7" t="inlineStr">
        <is>
          <t>Configuration</t>
        </is>
      </c>
    </row>
    <row r="8">
      <c r="A8" t="inlineStr">
        <is>
          <t>Reports</t>
        </is>
      </c>
      <c r="G8" t="inlineStr">
        <is>
          <t>Duplicate</t>
        </is>
      </c>
    </row>
    <row r="9">
      <c r="A9" t="inlineStr">
        <is>
          <t>Settings</t>
        </is>
      </c>
    </row>
    <row r="10">
      <c r="A10" t="inlineStr">
        <is>
          <t>Admin</t>
        </is>
      </c>
    </row>
  </sheetData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40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30" customWidth="1" min="12" max="12"/>
  </cols>
  <sheetData>
    <row r="1">
      <c r="A1" s="2" t="inlineStr">
        <is>
          <t>Feature ID</t>
        </is>
      </c>
      <c r="B1" s="2" t="inlineStr">
        <is>
          <t>Feature Name</t>
        </is>
      </c>
      <c r="C1" s="2" t="inlineStr">
        <is>
          <t>Module</t>
        </is>
      </c>
      <c r="D1" s="2" t="inlineStr">
        <is>
          <t>Sub-Module</t>
        </is>
      </c>
      <c r="E1" s="2" t="inlineStr">
        <is>
          <t>Description</t>
        </is>
      </c>
      <c r="F1" s="2" t="inlineStr">
        <is>
          <t>Status</t>
        </is>
      </c>
      <c r="G1" s="2" t="inlineStr">
        <is>
          <t>Criticality</t>
        </is>
      </c>
      <c r="H1" s="2" t="inlineStr">
        <is>
          <t>Owner</t>
        </is>
      </c>
      <c r="I1" s="2" t="inlineStr">
        <is>
          <t>Target Release</t>
        </is>
      </c>
      <c r="J1" s="2" t="inlineStr">
        <is>
          <t>Date Added</t>
        </is>
      </c>
      <c r="K1" s="2" t="inlineStr">
        <is>
          <t>Date Completed</t>
        </is>
      </c>
      <c r="L1" s="2" t="inlineStr">
        <is>
          <t>Notes</t>
        </is>
      </c>
    </row>
  </sheetData>
  <dataValidations count="4">
    <dataValidation sqref="C2:C1000" showDropDown="0" showInputMessage="0" showErrorMessage="0" allowBlank="0" type="list">
      <formula1>Modules</formula1>
    </dataValidation>
    <dataValidation sqref="F2:F1000" showDropDown="0" showInputMessage="0" showErrorMessage="0" allowBlank="0" type="list">
      <formula1>Feature_Status</formula1>
    </dataValidation>
    <dataValidation sqref="G2:G1000" showDropDown="0" showInputMessage="0" showErrorMessage="0" allowBlank="0" type="list">
      <formula1>Criticality</formula1>
    </dataValidation>
    <dataValidation sqref="H2:H1000" showDropDown="0" showInputMessage="0" showErrorMessage="0" allowBlank="1" type="list">
      <formula1>Team_Members</formula1>
    </dataValidation>
  </dataValidation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25" customWidth="1" min="9" max="9"/>
    <col width="12" customWidth="1" min="10" max="10"/>
    <col width="15" customWidth="1" min="11" max="11"/>
    <col width="12" customWidth="1" min="12" max="12"/>
    <col width="25" customWidth="1" min="13" max="13"/>
    <col width="15" customWidth="1" min="14" max="14"/>
    <col width="12" customWidth="1" min="15" max="15"/>
  </cols>
  <sheetData>
    <row r="1">
      <c r="A1" s="3" t="inlineStr">
        <is>
          <t>Verification ID</t>
        </is>
      </c>
      <c r="B1" s="3" t="inlineStr">
        <is>
          <t>Feature ID</t>
        </is>
      </c>
      <c r="C1" s="3" t="inlineStr">
        <is>
          <t>Test Scenario</t>
        </is>
      </c>
      <c r="D1" s="3" t="inlineStr">
        <is>
          <t>Expected Behavior</t>
        </is>
      </c>
      <c r="E1" s="3" t="inlineStr">
        <is>
          <t>Test Type</t>
        </is>
      </c>
      <c r="F1" s="3" t="inlineStr">
        <is>
          <t>Dev Verified</t>
        </is>
      </c>
      <c r="G1" s="3" t="inlineStr">
        <is>
          <t>Dev By</t>
        </is>
      </c>
      <c r="H1" s="3" t="inlineStr">
        <is>
          <t>Dev Date</t>
        </is>
      </c>
      <c r="I1" s="3" t="inlineStr">
        <is>
          <t>Dev Notes</t>
        </is>
      </c>
      <c r="J1" s="3" t="inlineStr">
        <is>
          <t>Tester Verified</t>
        </is>
      </c>
      <c r="K1" s="3" t="inlineStr">
        <is>
          <t>Tester By</t>
        </is>
      </c>
      <c r="L1" s="3" t="inlineStr">
        <is>
          <t>Tester Date</t>
        </is>
      </c>
      <c r="M1" s="3" t="inlineStr">
        <is>
          <t>Tester Notes</t>
        </is>
      </c>
      <c r="N1" s="3" t="inlineStr">
        <is>
          <t>Final Status</t>
        </is>
      </c>
      <c r="O1" s="3" t="inlineStr">
        <is>
          <t>Blocking Issue</t>
        </is>
      </c>
    </row>
    <row r="2">
      <c r="N2">
        <f>IF(AND(F2="✅ Pass", J2="✅ Pass"), "✅ Verified", IF(OR(F2="❌ Fail", J2="❌ Fail"), "❌ Failed", IF(OR(F2="⏸ Partial", J2="⏸ Partial"), "⚠️ Partial", "— Pending")))</f>
        <v/>
      </c>
    </row>
  </sheetData>
  <dataValidations count="5">
    <dataValidation sqref="E2:E1000" showDropDown="0" showInputMessage="0" showErrorMessage="0" allowBlank="0" type="list">
      <formula1>Test_Type</formula1>
    </dataValidation>
    <dataValidation sqref="F2:F1000" showDropDown="0" showInputMessage="0" showErrorMessage="0" allowBlank="0" type="list">
      <formula1>Verification_Status</formula1>
    </dataValidation>
    <dataValidation sqref="J2:J1000" showDropDown="0" showInputMessage="0" showErrorMessage="0" allowBlank="0" type="list">
      <formula1>Verification_Status</formula1>
    </dataValidation>
    <dataValidation sqref="G2:G1000" showDropDown="0" showInputMessage="0" showErrorMessage="0" allowBlank="1" type="list">
      <formula1>Team_Members</formula1>
    </dataValidation>
    <dataValidation sqref="K2:K1000" showDropDown="0" showInputMessage="0" showErrorMessage="0" allowBlank="1" type="list">
      <formula1>Team_Members</formula1>
    </dataValidation>
  </dataValidation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5" customWidth="1" min="4" max="4"/>
    <col width="10" customWidth="1" min="5" max="5"/>
    <col width="8" customWidth="1" min="6" max="6"/>
    <col width="35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30" customWidth="1" min="18" max="18"/>
  </cols>
  <sheetData>
    <row r="1">
      <c r="A1" s="3" t="inlineStr">
        <is>
          <t>Bug ID</t>
        </is>
      </c>
      <c r="B1" s="3" t="inlineStr">
        <is>
          <t>Related Feature ID(s)</t>
        </is>
      </c>
      <c r="C1" s="3" t="inlineStr">
        <is>
          <t>Title</t>
        </is>
      </c>
      <c r="D1" s="3" t="inlineStr">
        <is>
          <t>Description</t>
        </is>
      </c>
      <c r="E1" s="3" t="inlineStr">
        <is>
          <t>Severity</t>
        </is>
      </c>
      <c r="F1" s="3" t="inlineStr">
        <is>
          <t>Priority</t>
        </is>
      </c>
      <c r="G1" s="3" t="inlineStr">
        <is>
          <t>Steps to Reproduce</t>
        </is>
      </c>
      <c r="H1" s="3" t="inlineStr">
        <is>
          <t>Found By</t>
        </is>
      </c>
      <c r="I1" s="3" t="inlineStr">
        <is>
          <t>Reported By</t>
        </is>
      </c>
      <c r="J1" s="3" t="inlineStr">
        <is>
          <t>Date Reported</t>
        </is>
      </c>
      <c r="K1" s="3" t="inlineStr">
        <is>
          <t>Status</t>
        </is>
      </c>
      <c r="L1" s="3" t="inlineStr">
        <is>
          <t>Assigned To</t>
        </is>
      </c>
      <c r="M1" s="3" t="inlineStr">
        <is>
          <t>Fix Reference</t>
        </is>
      </c>
      <c r="N1" s="3" t="inlineStr">
        <is>
          <t>Date Fixed</t>
        </is>
      </c>
      <c r="O1" s="3" t="inlineStr">
        <is>
          <t>Verified By</t>
        </is>
      </c>
      <c r="P1" s="3" t="inlineStr">
        <is>
          <t>Date Verified</t>
        </is>
      </c>
      <c r="Q1" s="3" t="inlineStr">
        <is>
          <t>Regression Risk</t>
        </is>
      </c>
      <c r="R1" s="3" t="inlineStr">
        <is>
          <t>Root Cause</t>
        </is>
      </c>
    </row>
  </sheetData>
  <dataValidations count="6">
    <dataValidation sqref="E2:E1000" showDropDown="0" showInputMessage="0" showErrorMessage="0" allowBlank="0" type="list">
      <formula1>Bug_Severity</formula1>
    </dataValidation>
    <dataValidation sqref="F2:F1000" showDropDown="0" showInputMessage="0" showErrorMessage="0" allowBlank="0" type="list">
      <formula1>Bug_Priority</formula1>
    </dataValidation>
    <dataValidation sqref="H2:H1000" showDropDown="0" showInputMessage="0" showErrorMessage="0" allowBlank="0" prompt="Who discovered this bug?" type="list">
      <formula1>'Reference Data'!L$2:L$5</formula1>
    </dataValidation>
    <dataValidation sqref="K2:K1000" showDropDown="0" showInputMessage="0" showErrorMessage="0" allowBlank="0" type="list">
      <formula1>Bug_Status</formula1>
    </dataValidation>
    <dataValidation sqref="L2:L1000" showDropDown="0" showInputMessage="0" showErrorMessage="0" allowBlank="1" type="list">
      <formula1>Team_Members</formula1>
    </dataValidation>
    <dataValidation sqref="Q2:Q1000" showDropDown="0" showInputMessage="0" showErrorMessage="0" allowBlank="0" type="list">
      <formula1>Regression_Risk</formula1>
    </dataValidation>
  </dataValidation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30" customWidth="1" min="5" max="5"/>
    <col width="35" customWidth="1" min="6" max="6"/>
    <col width="30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  <col width="20" customWidth="1" min="13" max="13"/>
    <col width="20" customWidth="1" min="14" max="14"/>
  </cols>
  <sheetData>
    <row r="1">
      <c r="A1" s="3" t="inlineStr">
        <is>
          <t>Fix ID</t>
        </is>
      </c>
      <c r="B1" s="3" t="inlineStr">
        <is>
          <t>Related Bug ID(s)</t>
        </is>
      </c>
      <c r="C1" s="3" t="inlineStr">
        <is>
          <t>Feature Impacted</t>
        </is>
      </c>
      <c r="D1" s="3" t="inlineStr">
        <is>
          <t>Type of Fix</t>
        </is>
      </c>
      <c r="E1" s="3" t="inlineStr">
        <is>
          <t>Title</t>
        </is>
      </c>
      <c r="F1" s="3" t="inlineStr">
        <is>
          <t>Description</t>
        </is>
      </c>
      <c r="G1" s="3" t="inlineStr">
        <is>
          <t>Files Changed</t>
        </is>
      </c>
      <c r="H1" s="3" t="inlineStr">
        <is>
          <t>Developer</t>
        </is>
      </c>
      <c r="I1" s="3" t="inlineStr">
        <is>
          <t>Date Fixed</t>
        </is>
      </c>
      <c r="J1" s="3" t="inlineStr">
        <is>
          <t>Verified By</t>
        </is>
      </c>
      <c r="K1" s="3" t="inlineStr">
        <is>
          <t>Date Verified</t>
        </is>
      </c>
      <c r="L1" s="3" t="inlineStr">
        <is>
          <t>Release Version</t>
        </is>
      </c>
      <c r="M1" s="3" t="inlineStr">
        <is>
          <t>Commit/PR Reference</t>
        </is>
      </c>
      <c r="N1" s="3" t="inlineStr">
        <is>
          <t>Regression Tests Added</t>
        </is>
      </c>
    </row>
  </sheetData>
  <dataValidations count="3">
    <dataValidation sqref="D2:D1000" showDropDown="0" showInputMessage="0" showErrorMessage="0" allowBlank="0" type="list">
      <formula1>Fix_Type</formula1>
    </dataValidation>
    <dataValidation sqref="H2:H1000" showDropDown="0" showInputMessage="0" showErrorMessage="0" allowBlank="0" type="list">
      <formula1>Team_Members</formula1>
    </dataValidation>
    <dataValidation sqref="N2:N1000" showDropDown="0" showInputMessage="0" showErrorMessage="0" allowBlank="0" type="list">
      <formula1>Yes_No</formula1>
    </dataValidation>
  </dataValidation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5" customWidth="1" min="4" max="4"/>
    <col width="12" customWidth="1" min="5" max="5"/>
    <col width="15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3" t="inlineStr">
        <is>
          <t>Feature ID</t>
        </is>
      </c>
      <c r="B1" s="3" t="inlineStr">
        <is>
          <t>Feature Name</t>
        </is>
      </c>
      <c r="C1" s="3" t="inlineStr">
        <is>
          <t>Trigger Condition</t>
        </is>
      </c>
      <c r="D1" s="3" t="inlineStr">
        <is>
          <t>Dependency Features</t>
        </is>
      </c>
      <c r="E1" s="3" t="inlineStr">
        <is>
          <t>Regression Risk</t>
        </is>
      </c>
      <c r="F1" s="3" t="inlineStr">
        <is>
          <t>Last Regression Test</t>
        </is>
      </c>
      <c r="G1" s="3" t="inlineStr">
        <is>
          <t>Tested By</t>
        </is>
      </c>
      <c r="H1" s="3" t="inlineStr">
        <is>
          <t>Result</t>
        </is>
      </c>
      <c r="I1" s="3" t="inlineStr">
        <is>
          <t>Notes</t>
        </is>
      </c>
      <c r="J1" s="3" t="inlineStr">
        <is>
          <t>Next Test Due</t>
        </is>
      </c>
    </row>
    <row r="2">
      <c r="B2">
        <f>IFERROR(VLOOKUP(A2,'Feature Master'!A:B,2,FALSE),"")</f>
        <v/>
      </c>
    </row>
  </sheetData>
  <dataValidations count="3">
    <dataValidation sqref="E2:E1000" showDropDown="0" showInputMessage="0" showErrorMessage="0" allowBlank="0" type="list">
      <formula1>Regression_Risk</formula1>
    </dataValidation>
    <dataValidation sqref="G2:G1000" showDropDown="0" showInputMessage="0" showErrorMessage="0" allowBlank="1" type="list">
      <formula1>Team_Members</formula1>
    </dataValidation>
    <dataValidation sqref="H2:H1000" showDropDown="0" showInputMessage="0" showErrorMessage="0" allowBlank="1" prompt="Test result" type="list">
      <formula1>'Reference Data'!D$2:D$5</formula1>
    </dataValidation>
  </dataValidation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4" t="inlineStr">
        <is>
          <t>🎯 MASTER FEATURE &amp; VERIFICATION DASHBOARD</t>
        </is>
      </c>
    </row>
    <row r="3">
      <c r="A3" s="5" t="inlineStr">
        <is>
          <t>📊 FEATURE COMPLETION METRICS</t>
        </is>
      </c>
    </row>
    <row r="4">
      <c r="A4" s="6" t="inlineStr">
        <is>
          <t>Total Features</t>
        </is>
      </c>
      <c r="B4" s="7">
        <f>COUNTIFS('Feature Master'!F:F,"&lt;&gt;Removed")</f>
        <v/>
      </c>
    </row>
    <row r="5">
      <c r="A5" s="6" t="inlineStr">
        <is>
          <t>Features Built</t>
        </is>
      </c>
      <c r="B5" s="7">
        <f>COUNTIF('Feature Master'!F:F,"Built")</f>
        <v/>
      </c>
    </row>
    <row r="6">
      <c r="A6" s="6" t="inlineStr">
        <is>
          <t>Build Completion %</t>
        </is>
      </c>
      <c r="B6" s="7">
        <f>IF(B5&gt;0,ROUND(B6/B5*100,1),0)&amp;"%"</f>
        <v/>
      </c>
    </row>
    <row r="7">
      <c r="A7" s="6" t="inlineStr">
        <is>
          <t>Features Verified</t>
        </is>
      </c>
      <c r="B7" s="7">
        <f>COUNTIF('Verification Checklist'!N:N,"✅ Verified")</f>
        <v/>
      </c>
    </row>
    <row r="8">
      <c r="A8" s="6" t="inlineStr">
        <is>
          <t>Verification %</t>
        </is>
      </c>
      <c r="B8" s="7">
        <f>IF(B6&gt;0,ROUND(B8/B6*100,1),0)&amp;"%"</f>
        <v/>
      </c>
    </row>
    <row r="10">
      <c r="A10" s="8" t="inlineStr">
        <is>
          <t>🐛 BUG HEALTH</t>
        </is>
      </c>
    </row>
    <row r="11">
      <c r="A11" s="6" t="inlineStr">
        <is>
          <t>Open Bugs</t>
        </is>
      </c>
      <c r="B11" s="7">
        <f>COUNTIF('Bug Tracker'!K:K,"Open")</f>
        <v/>
      </c>
    </row>
    <row r="12">
      <c r="A12" s="6" t="inlineStr">
        <is>
          <t>Critical/High Bugs</t>
        </is>
      </c>
      <c r="B12" s="7">
        <f>COUNTIFS('Bug Tracker'!E:E,"Critical",'Bug Tracker'!K:K,"&lt;&gt;Closed")+COUNTIFS('Bug Tracker'!E:E,"High",'Bug Tracker'!K:K,"&lt;&gt;Closed")</f>
        <v/>
      </c>
    </row>
    <row r="13">
      <c r="A13" s="6" t="inlineStr">
        <is>
          <t>Blocking Bugs</t>
        </is>
      </c>
      <c r="B13" s="7">
        <f>COUNTIFS('Bug Tracker'!F:F,"P0",'Bug Tracker'!K:K,"&lt;&gt;Closed")</f>
        <v/>
      </c>
    </row>
    <row r="14">
      <c r="A14" s="6" t="inlineStr">
        <is>
          <t>Average Bug Age (days)</t>
        </is>
      </c>
      <c r="B14" s="7">
        <f>IF(COUNTIF('Bug Tracker'!K:K,"Open")&gt;0,ROUND(AVERAGE(IF('Bug Tracker'!K:K="Open",TODAY()-'Bug Tracker'!J:J,"")),0),"0")</f>
        <v/>
      </c>
    </row>
    <row r="16">
      <c r="A16" s="9" t="inlineStr">
        <is>
          <t>🚀 RELEASE READINESS</t>
        </is>
      </c>
    </row>
    <row r="17">
      <c r="A17" s="6" t="inlineStr">
        <is>
          <t>All Critical Features Verified</t>
        </is>
      </c>
      <c r="B17" s="10">
        <f>IF(COUNTIFS('Feature Master'!G:G,"Blocking",'Feature Master'!F:F,"Built")=COUNTIFS('Verification Checklist'!N:N,"✅ Verified",'Feature Master'!G:G,"Blocking"),"✅","❌")</f>
        <v/>
      </c>
    </row>
    <row r="18">
      <c r="A18" s="6" t="inlineStr">
        <is>
          <t>No Blocking Bugs</t>
        </is>
      </c>
      <c r="B18" s="10">
        <f>IF(B13=0,"✅","❌")</f>
        <v/>
      </c>
    </row>
    <row r="19">
      <c r="A19" s="6" t="inlineStr">
        <is>
          <t>Verification Coverage ≥ 95%</t>
        </is>
      </c>
      <c r="B19" s="10">
        <f>IF(VALUE(LEFT(B9,LEN(B9)-1))&gt;=95,"✅","⚠️")</f>
        <v/>
      </c>
    </row>
    <row r="20">
      <c r="A20" s="6" t="inlineStr">
        <is>
          <t>High Severity Bugs ≤ 2</t>
        </is>
      </c>
      <c r="B20" s="10">
        <f>IF(B12&lt;=2,"✅","⚠️")</f>
        <v/>
      </c>
    </row>
    <row r="22">
      <c r="A22" s="11" t="inlineStr">
        <is>
          <t>OVERALL RELEASE STATUS</t>
        </is>
      </c>
      <c r="B22" s="12">
        <f>IF(COUNTIF(B18:B21,"❌")&gt;0,"🔴 BLOCKED",IF(COUNTIF(B18:B21,"⚠️")&gt;0,"🟡 AT RISK","🟢 READY"))</f>
        <v/>
      </c>
    </row>
    <row r="24">
      <c r="A24" s="13" t="inlineStr">
        <is>
          <t>📖 HOW TO USE THIS DASHBOARD</t>
        </is>
      </c>
    </row>
    <row r="25">
      <c r="A25" s="14" t="inlineStr">
        <is>
          <t>1. This dashboard auto-updates based on data in other sheets</t>
        </is>
      </c>
    </row>
    <row r="26">
      <c r="A26" s="14" t="inlineStr">
        <is>
          <t>2. Green (✅/🟢) = Ready | Yellow (⚠️/🟡) = At Risk | Red (❌/🔴) = Blocked</t>
        </is>
      </c>
    </row>
    <row r="27">
      <c r="A27" s="14" t="inlineStr">
        <is>
          <t>3. Review blocking items before any release</t>
        </is>
      </c>
    </row>
    <row r="28">
      <c r="A28" s="14" t="inlineStr">
        <is>
          <t>4. All formulas pull from Feature Master, Verification Checklist, and Bug Tracker</t>
        </is>
      </c>
    </row>
    <row r="29">
      <c r="A29" s="14" t="inlineStr">
        <is>
          <t>5. Update this dashboard by refreshing (Ctrl+Alt+F9 or Cmd+Option+F9)</t>
        </is>
      </c>
    </row>
  </sheetData>
  <mergeCells count="5">
    <mergeCell ref="A24:F24"/>
    <mergeCell ref="A16:F16"/>
    <mergeCell ref="A10:F10"/>
    <mergeCell ref="A1:F1"/>
    <mergeCell ref="A3:F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2026-01-14T13:38:44Z</dcterms:created>
  <dcterms:modified xsi:type="dcterms:W3CDTF">2026-01-14T13:38:44Z</dcterms:modified>
</cp:coreProperties>
</file>